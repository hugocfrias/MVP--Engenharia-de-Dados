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anie\OneDrive\Área de Trabalho\"/>
    </mc:Choice>
  </mc:AlternateContent>
  <xr:revisionPtr revIDLastSave="0" documentId="13_ncr:1_{998DE84D-B32D-426D-B630-3E16AAFBE5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9" i="1"/>
  <c r="C25" i="1"/>
  <c r="C24" i="1"/>
  <c r="C18" i="1"/>
  <c r="C15" i="1"/>
  <c r="E6" i="1"/>
  <c r="E5" i="1"/>
  <c r="C8" i="1"/>
  <c r="D8" i="1"/>
  <c r="E8" i="1" s="1"/>
  <c r="F8" i="1" s="1"/>
  <c r="D7" i="1"/>
  <c r="E7" i="1" s="1"/>
  <c r="D6" i="1"/>
  <c r="D5" i="1"/>
  <c r="D4" i="1"/>
  <c r="E4" i="1" s="1"/>
  <c r="C4" i="1"/>
</calcChain>
</file>

<file path=xl/sharedStrings.xml><?xml version="1.0" encoding="utf-8"?>
<sst xmlns="http://schemas.openxmlformats.org/spreadsheetml/2006/main" count="21" uniqueCount="21">
  <si>
    <t>Atual</t>
  </si>
  <si>
    <t>Aluguel</t>
  </si>
  <si>
    <t>Luz</t>
  </si>
  <si>
    <t>Gás</t>
  </si>
  <si>
    <t>Net Combo</t>
  </si>
  <si>
    <t>Próximo</t>
  </si>
  <si>
    <t>Var</t>
  </si>
  <si>
    <t>Análise 1 - Renda Correnda</t>
  </si>
  <si>
    <t>Análise 2 - Investimento</t>
  </si>
  <si>
    <t>Eco Hugo</t>
  </si>
  <si>
    <t>Eco Daniele</t>
  </si>
  <si>
    <t>Taxas</t>
  </si>
  <si>
    <t>Fundo Reserva</t>
  </si>
  <si>
    <t>Líquido</t>
  </si>
  <si>
    <t>Reserva Total</t>
  </si>
  <si>
    <t xml:space="preserve">Análise 3 - Taxa </t>
  </si>
  <si>
    <t>Valor Total Imóvel</t>
  </si>
  <si>
    <t>Entrada</t>
  </si>
  <si>
    <t>Valor Financiado</t>
  </si>
  <si>
    <t>Valor Simulação Itaú</t>
  </si>
  <si>
    <t>Simulação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</si>
</sst>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44" fontId="0" fillId="0" borderId="1" xfId="1" applyFont="1" applyBorder="1"/>
    <xf numFmtId="44" fontId="0" fillId="0" borderId="0" xfId="0" applyNumberFormat="1"/>
    <xf numFmtId="44" fontId="2" fillId="0" borderId="1" xfId="1" applyFont="1" applyBorder="1"/>
    <xf numFmtId="0" fontId="2" fillId="2" borderId="1" xfId="0" applyFont="1" applyFill="1" applyBorder="1"/>
    <xf numFmtId="0" fontId="0" fillId="3" borderId="1" xfId="0" applyFill="1" applyBorder="1"/>
    <xf numFmtId="44" fontId="0" fillId="3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9"/>
  <sheetViews>
    <sheetView tabSelected="1" workbookViewId="0">
      <selection activeCell="G19" sqref="G19"/>
    </sheetView>
  </sheetViews>
  <sheetFormatPr defaultRowHeight="15" x14ac:dyDescent="0.25"/>
  <cols>
    <col min="2" max="2" width="25.140625" bestFit="1" customWidth="1"/>
    <col min="3" max="3" width="14.28515625" bestFit="1" customWidth="1"/>
    <col min="4" max="6" width="12.140625" bestFit="1" customWidth="1"/>
  </cols>
  <sheetData>
    <row r="1" spans="2:6" x14ac:dyDescent="0.25">
      <c r="B1" t="s">
        <v>7</v>
      </c>
    </row>
    <row r="3" spans="2:6" x14ac:dyDescent="0.25">
      <c r="C3" t="s">
        <v>0</v>
      </c>
      <c r="D3" t="s">
        <v>5</v>
      </c>
      <c r="E3" t="s">
        <v>6</v>
      </c>
    </row>
    <row r="4" spans="2:6" x14ac:dyDescent="0.25">
      <c r="B4" s="1" t="s">
        <v>1</v>
      </c>
      <c r="C4" s="2">
        <f t="shared" ref="C4" si="0">(2030*0.11)+2030</f>
        <v>2253.3000000000002</v>
      </c>
      <c r="D4" s="2">
        <f>705+182+4069</f>
        <v>4956</v>
      </c>
      <c r="E4" s="3">
        <f>D4-C4</f>
        <v>2702.7</v>
      </c>
    </row>
    <row r="5" spans="2:6" x14ac:dyDescent="0.25">
      <c r="B5" s="1" t="s">
        <v>2</v>
      </c>
      <c r="C5" s="2">
        <v>170</v>
      </c>
      <c r="D5" s="2">
        <f>C5*1.2</f>
        <v>204</v>
      </c>
      <c r="E5" s="3">
        <f t="shared" ref="E5:E8" si="1">D5-C5</f>
        <v>34</v>
      </c>
    </row>
    <row r="6" spans="2:6" x14ac:dyDescent="0.25">
      <c r="B6" s="1" t="s">
        <v>3</v>
      </c>
      <c r="C6" s="2">
        <v>65</v>
      </c>
      <c r="D6" s="2">
        <f>C6</f>
        <v>65</v>
      </c>
      <c r="E6" s="3">
        <f t="shared" si="1"/>
        <v>0</v>
      </c>
    </row>
    <row r="7" spans="2:6" x14ac:dyDescent="0.25">
      <c r="B7" s="1" t="s">
        <v>4</v>
      </c>
      <c r="C7" s="2">
        <v>207.12</v>
      </c>
      <c r="D7" s="2">
        <f>C7</f>
        <v>207.12</v>
      </c>
      <c r="E7" s="3">
        <f t="shared" si="1"/>
        <v>0</v>
      </c>
    </row>
    <row r="8" spans="2:6" x14ac:dyDescent="0.25">
      <c r="C8" s="2">
        <f>SUM(C4:C7)</f>
        <v>2695.42</v>
      </c>
      <c r="D8" s="2">
        <f>SUM(D4:D7)</f>
        <v>5432.12</v>
      </c>
      <c r="E8" s="3">
        <f t="shared" si="1"/>
        <v>2736.7</v>
      </c>
      <c r="F8" s="3">
        <f>E8/2</f>
        <v>1368.35</v>
      </c>
    </row>
    <row r="11" spans="2:6" x14ac:dyDescent="0.25">
      <c r="B11" t="s">
        <v>8</v>
      </c>
    </row>
    <row r="13" spans="2:6" x14ac:dyDescent="0.25">
      <c r="B13" s="1" t="s">
        <v>9</v>
      </c>
      <c r="C13" s="2">
        <v>150000</v>
      </c>
    </row>
    <row r="14" spans="2:6" x14ac:dyDescent="0.25">
      <c r="B14" s="1" t="s">
        <v>10</v>
      </c>
      <c r="C14" s="2">
        <v>80000</v>
      </c>
    </row>
    <row r="15" spans="2:6" x14ac:dyDescent="0.25">
      <c r="B15" s="5" t="s">
        <v>14</v>
      </c>
      <c r="C15" s="4">
        <f>C13+C14</f>
        <v>230000</v>
      </c>
    </row>
    <row r="16" spans="2:6" x14ac:dyDescent="0.25">
      <c r="B16" s="1" t="s">
        <v>11</v>
      </c>
      <c r="C16" s="2">
        <v>30000</v>
      </c>
    </row>
    <row r="17" spans="2:3" x14ac:dyDescent="0.25">
      <c r="B17" s="6" t="s">
        <v>12</v>
      </c>
      <c r="C17" s="7">
        <v>20000</v>
      </c>
    </row>
    <row r="18" spans="2:3" x14ac:dyDescent="0.25">
      <c r="B18" s="1" t="s">
        <v>13</v>
      </c>
      <c r="C18" s="2">
        <f>C15-C16-C17</f>
        <v>180000</v>
      </c>
    </row>
    <row r="21" spans="2:3" x14ac:dyDescent="0.25">
      <c r="B21" t="s">
        <v>15</v>
      </c>
    </row>
    <row r="23" spans="2:3" x14ac:dyDescent="0.25">
      <c r="B23" s="1" t="s">
        <v>16</v>
      </c>
      <c r="C23" s="2">
        <v>550000</v>
      </c>
    </row>
    <row r="24" spans="2:3" x14ac:dyDescent="0.25">
      <c r="B24" s="1" t="s">
        <v>17</v>
      </c>
      <c r="C24" s="2">
        <f>C18</f>
        <v>180000</v>
      </c>
    </row>
    <row r="25" spans="2:3" x14ac:dyDescent="0.25">
      <c r="B25" s="1" t="s">
        <v>18</v>
      </c>
      <c r="C25" s="2">
        <f>C23-C24</f>
        <v>370000</v>
      </c>
    </row>
    <row r="27" spans="2:3" x14ac:dyDescent="0.25">
      <c r="B27" s="1" t="s">
        <v>19</v>
      </c>
      <c r="C27" s="2">
        <f>4069</f>
        <v>4069</v>
      </c>
    </row>
    <row r="29" spans="2:3" x14ac:dyDescent="0.25">
      <c r="B29" s="1" t="s">
        <v>20</v>
      </c>
      <c r="C29" s="2">
        <f>C25*0.01</f>
        <v>3700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Santos</dc:creator>
  <cp:lastModifiedBy>Daniele Santos</cp:lastModifiedBy>
  <dcterms:created xsi:type="dcterms:W3CDTF">2015-06-05T18:19:34Z</dcterms:created>
  <dcterms:modified xsi:type="dcterms:W3CDTF">2023-07-22T22:35:27Z</dcterms:modified>
</cp:coreProperties>
</file>